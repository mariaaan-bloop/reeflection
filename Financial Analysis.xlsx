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Paket Penjualan" sheetId="2" r:id="rId6"/>
    <sheet state="visible" name="Financial Projection" sheetId="3" r:id="rId7"/>
  </sheets>
  <definedNames/>
  <calcPr/>
</workbook>
</file>

<file path=xl/sharedStrings.xml><?xml version="1.0" encoding="utf-8"?>
<sst xmlns="http://schemas.openxmlformats.org/spreadsheetml/2006/main" count="109" uniqueCount="84">
  <si>
    <t xml:space="preserve">Paket Penjualan </t>
  </si>
  <si>
    <t>Nama</t>
  </si>
  <si>
    <t>harga</t>
  </si>
  <si>
    <t>Keterangan</t>
  </si>
  <si>
    <t>Baby coral</t>
  </si>
  <si>
    <t>tidak include perawatan, jadi hanya membeli coral</t>
  </si>
  <si>
    <t>Complete paket</t>
  </si>
  <si>
    <t>Beli coral,  perawaran sekian bulan, sertifikat</t>
  </si>
  <si>
    <t>Taking Care coral</t>
  </si>
  <si>
    <t>1. Cash Flow selama 1  tahun</t>
  </si>
  <si>
    <t>Biaya Awal (Startup Costs) - Dibayar Satu Kali</t>
  </si>
  <si>
    <t>No</t>
  </si>
  <si>
    <t>Komponen Biaya</t>
  </si>
  <si>
    <t>Harga</t>
  </si>
  <si>
    <t>Satuan</t>
  </si>
  <si>
    <t>Jumlah (Rp)</t>
  </si>
  <si>
    <t>Biaya MoU / Legalitas Awal</t>
  </si>
  <si>
    <t>Biaya Desain Awal - Template Sertifikat</t>
  </si>
  <si>
    <t>Total Biaya Awal</t>
  </si>
  <si>
    <t>Biaya Fixed - Dibayar Setiap bulan</t>
  </si>
  <si>
    <t>Total Biaya Tetap</t>
  </si>
  <si>
    <t>Domain</t>
  </si>
  <si>
    <t>Menggunakan google domain/ niagahoster</t>
  </si>
  <si>
    <t>A. Fixed Cost</t>
  </si>
  <si>
    <t>SSL Certificate</t>
  </si>
  <si>
    <t>Menggunakan let's encrypt</t>
  </si>
  <si>
    <t>CDN &amp; Security</t>
  </si>
  <si>
    <t>Cloudflare Pro (caching +firewall + DDos protection)</t>
  </si>
  <si>
    <t>Hosting/ VPS</t>
  </si>
  <si>
    <t>VPS DigitalOcean</t>
  </si>
  <si>
    <t>Storage &amp; Backup</t>
  </si>
  <si>
    <t>S3-compatible storage (Wasabi)</t>
  </si>
  <si>
    <t>Hosting &amp; domain aplikasi</t>
  </si>
  <si>
    <t>Development &amp; Maintanance</t>
  </si>
  <si>
    <t>Fix bug &amp; update fitur</t>
  </si>
  <si>
    <t>Design &amp; Content</t>
  </si>
  <si>
    <t>pembuatan konten</t>
  </si>
  <si>
    <t>Admin Operasional</t>
  </si>
  <si>
    <t>Admin 2 orang (shift)</t>
  </si>
  <si>
    <t>Pemeliharaan server</t>
  </si>
  <si>
    <t>Pemantauan Berkala</t>
  </si>
  <si>
    <t>Kerjasama Lembaga Konservasi untuk Pemantauan (logistik)</t>
  </si>
  <si>
    <t>Gaji admin &amp; pengelola platform</t>
  </si>
  <si>
    <t>Marketing Dasar (Branding, Media Sosial)</t>
  </si>
  <si>
    <t>Layanan foto &amp; data pemantauan berkala (kerjasama lembaga konservasi)</t>
  </si>
  <si>
    <t>Biaya Variable-bayar tiap bulan</t>
  </si>
  <si>
    <t>HPP Basic</t>
  </si>
  <si>
    <t>Komponen Biaya Variabel</t>
  </si>
  <si>
    <t>Biaya per Unit-Diamond (Rp)</t>
  </si>
  <si>
    <t>B. Variable Cost</t>
  </si>
  <si>
    <t>Biaya per Unit-Basic (Rp)</t>
  </si>
  <si>
    <t>Biaya Bibit &amp; Tanam Awal</t>
  </si>
  <si>
    <t>Perawatan &amp; Dokumentasi Foto</t>
  </si>
  <si>
    <t>Produksi Sertifikat Digital</t>
  </si>
  <si>
    <t>Biaya penanaman coral per unit</t>
  </si>
  <si>
    <t>Fee Payment Gateway (2.9% + Rp 2.000)</t>
  </si>
  <si>
    <t>Total HPP Paket Basic</t>
  </si>
  <si>
    <t>Transportasi dan logistik lapangan (Rata-Rata)</t>
  </si>
  <si>
    <t>Pembaruan foto / dokumentasi lapangan per coral</t>
  </si>
  <si>
    <t>HPP Diamond</t>
  </si>
  <si>
    <t>Bonus/komisi afiliasi ke user</t>
  </si>
  <si>
    <t>Biaya per Unit (Rp)</t>
  </si>
  <si>
    <t>Biaya Penanaman Coral</t>
  </si>
  <si>
    <t>Biaya perawatan coral per 6 bulan</t>
  </si>
  <si>
    <t>Perawatan &amp; Dokumentasi Foto-Video</t>
  </si>
  <si>
    <t>Produksi Sertifikat Digital + Marchandise</t>
  </si>
  <si>
    <t>Biaya Produksi Sertifikat Digital per Adopter</t>
  </si>
  <si>
    <t>Total HPP Paket Diamond</t>
  </si>
  <si>
    <t>Fee Payment Gateway (2.5% dari harga jual)</t>
  </si>
  <si>
    <t>Analisis Harga Jual dan Laba Kotor</t>
  </si>
  <si>
    <t>Total Biaya Variable</t>
  </si>
  <si>
    <t>Paket Basic</t>
  </si>
  <si>
    <t>Paket Diamond</t>
  </si>
  <si>
    <t>Harga Jual</t>
  </si>
  <si>
    <t>HPP per Unit</t>
  </si>
  <si>
    <t>Total Biaya =</t>
  </si>
  <si>
    <t>C. Pendapatan</t>
  </si>
  <si>
    <t>Laba Kotor per Unit</t>
  </si>
  <si>
    <t>pakai fitur premium gak ini? Klw pakai, pendapatannya bisa dari:</t>
  </si>
  <si>
    <t>1. apk pihak ketiga yg mau kerjasama, misal merchandise totebag, gantungan, etc</t>
  </si>
  <si>
    <t>2. sponsorship &amp; CSR</t>
  </si>
  <si>
    <t>3. etc</t>
  </si>
  <si>
    <t>2. Harga Pokok Penjualan (HPP)</t>
  </si>
  <si>
    <t xml:space="preserve">HPP = Jumlahkan semua Biaya Variabel per Unit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</si>
</sst>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/>
    <font>
      <b/>
      <sz val="11.0"/>
      <color theme="1"/>
      <name val="&quot;Cambria&quot;"/>
    </font>
    <font>
      <sz val="11.0"/>
      <color theme="1"/>
      <name val="&quot;Cambria&quot;"/>
    </font>
    <font>
      <b/>
      <sz val="11.0"/>
      <color theme="1"/>
      <name val="Arial"/>
      <scheme val="minor"/>
    </font>
    <font>
      <sz val="11.0"/>
      <color rgb="FF000000"/>
      <name val="&quot;Cambria&quot;"/>
    </font>
  </fonts>
  <fills count="9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E7F9EF"/>
        <bgColor rgb="FFE7F9EF"/>
      </patternFill>
    </fill>
    <fill>
      <patternFill patternType="solid">
        <fgColor rgb="FF8BC34A"/>
        <bgColor rgb="FF8BC34A"/>
      </patternFill>
    </fill>
    <fill>
      <patternFill patternType="solid">
        <fgColor rgb="FFEEF7E3"/>
        <bgColor rgb="FFEEF7E3"/>
      </patternFill>
    </fill>
  </fills>
  <borders count="13">
    <border/>
    <border>
      <left style="thin">
        <color rgb="FF46BDC6"/>
      </left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6BDC6"/>
      </left>
      <top style="thin">
        <color rgb="FF46BDC6"/>
      </top>
      <bottom style="thin">
        <color rgb="FF46BDC6"/>
      </bottom>
    </border>
    <border>
      <top style="thin">
        <color rgb="FF46BDC6"/>
      </top>
      <bottom style="thin">
        <color rgb="FF46BDC6"/>
      </bottom>
    </border>
    <border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4DD0E1"/>
      </left>
      <right style="thin">
        <color rgb="FF4DD0E1"/>
      </right>
      <top style="thin">
        <color rgb="FF4DD0E1"/>
      </top>
      <bottom style="thin">
        <color rgb="FF4DD0E1"/>
      </bottom>
    </border>
    <border>
      <left style="thin">
        <color rgb="FF4DD0E1"/>
      </left>
      <top style="thin">
        <color rgb="FF4DD0E1"/>
      </top>
      <bottom style="thin">
        <color rgb="FF4DD0E1"/>
      </bottom>
    </border>
    <border>
      <right style="thin">
        <color rgb="FF4DD0E1"/>
      </right>
      <top style="thin">
        <color rgb="FF4DD0E1"/>
      </top>
      <bottom style="thin">
        <color rgb="FF4DD0E1"/>
      </bottom>
    </border>
    <border>
      <top style="thin">
        <color rgb="FF4DD0E1"/>
      </top>
      <bottom style="thin">
        <color rgb="FF4DD0E1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3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2" fillId="3" fontId="4" numFmtId="0" xfId="0" applyAlignment="1" applyBorder="1" applyFill="1" applyFont="1">
      <alignment horizontal="center" vertical="bottom"/>
    </xf>
    <xf borderId="2" fillId="3" fontId="4" numFmtId="0" xfId="0" applyAlignment="1" applyBorder="1" applyFill="1" applyFont="1">
      <alignment horizontal="center" vertical="bottom"/>
    </xf>
    <xf borderId="1" fillId="4" fontId="5" numFmtId="0" xfId="0" applyAlignment="1" applyBorder="1" applyFill="1" applyFont="1">
      <alignment horizontal="center" vertical="bottom"/>
    </xf>
    <xf borderId="2" fillId="2" fontId="4" numFmtId="0" xfId="0" applyAlignment="1" applyBorder="1" applyFill="1" applyFont="1">
      <alignment horizontal="center" vertical="bottom"/>
    </xf>
    <xf borderId="1" fillId="4" fontId="5" numFmtId="0" xfId="0" applyAlignment="1" applyBorder="1" applyFill="1" applyFont="1">
      <alignment readingOrder="0" vertical="bottom"/>
    </xf>
    <xf borderId="2" fillId="4" fontId="5" numFmtId="0" xfId="0" applyAlignment="1" applyBorder="1" applyFill="1" applyFont="1">
      <alignment horizontal="center" vertical="bottom"/>
    </xf>
    <xf borderId="1" fillId="0" fontId="1" numFmtId="164" xfId="0" applyAlignment="1" applyBorder="1" applyFont="1" applyNumberFormat="1">
      <alignment readingOrder="0"/>
    </xf>
    <xf borderId="2" fillId="4" fontId="5" numFmtId="0" xfId="0" applyAlignment="1" applyBorder="1" applyFill="1" applyFont="1">
      <alignment readingOrder="0" vertical="bottom"/>
    </xf>
    <xf borderId="1" fillId="5" fontId="5" numFmtId="0" xfId="0" applyAlignment="1" applyBorder="1" applyFill="1" applyFont="1">
      <alignment horizontal="center" vertical="bottom"/>
    </xf>
    <xf borderId="0" fillId="4" fontId="1" numFmtId="164" xfId="0" applyAlignment="1" applyFill="1" applyFont="1" applyNumberFormat="1">
      <alignment readingOrder="0"/>
    </xf>
    <xf borderId="1" fillId="0" fontId="1" numFmtId="0" xfId="0" applyAlignment="1" applyBorder="1" applyFont="1">
      <alignment readingOrder="0"/>
    </xf>
    <xf borderId="1" fillId="5" fontId="5" numFmtId="164" xfId="0" applyAlignment="1" applyBorder="1" applyFill="1" applyFont="1" applyNumberFormat="1">
      <alignment readingOrder="0" vertical="bottom"/>
    </xf>
    <xf borderId="3" fillId="4" fontId="5" numFmtId="0" xfId="0" applyAlignment="1" applyBorder="1" applyFill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1" fillId="4" fontId="5" numFmtId="164" xfId="0" applyAlignment="1" applyBorder="1" applyFill="1" applyFont="1" applyNumberFormat="1">
      <alignment horizontal="right" vertical="bottom"/>
    </xf>
    <xf borderId="2" fillId="4" fontId="5" numFmtId="164" xfId="0" applyAlignment="1" applyBorder="1" applyFill="1" applyFont="1" applyNumberFormat="1">
      <alignment horizontal="right" vertical="bottom"/>
    </xf>
    <xf borderId="2" fillId="6" fontId="5" numFmtId="0" xfId="0" applyAlignment="1" applyBorder="1" applyFill="1" applyFont="1">
      <alignment horizontal="center" vertical="bottom"/>
    </xf>
    <xf borderId="0" fillId="6" fontId="1" numFmtId="0" xfId="0" applyAlignment="1" applyFill="1" applyFont="1">
      <alignment readingOrder="0"/>
    </xf>
    <xf borderId="0" fillId="4" fontId="5" numFmtId="0" xfId="0" applyAlignment="1" applyFill="1" applyFont="1">
      <alignment horizontal="right" vertical="bottom"/>
    </xf>
    <xf borderId="2" fillId="6" fontId="5" numFmtId="0" xfId="0" applyAlignment="1" applyBorder="1" applyFill="1" applyFont="1">
      <alignment readingOrder="0" vertical="bottom"/>
    </xf>
    <xf borderId="2" fillId="6" fontId="5" numFmtId="164" xfId="0" applyAlignment="1" applyBorder="1" applyFill="1" applyFont="1" applyNumberFormat="1">
      <alignment readingOrder="0" vertical="bottom"/>
    </xf>
    <xf borderId="2" fillId="5" fontId="5" numFmtId="164" xfId="0" applyAlignment="1" applyBorder="1" applyFill="1" applyFont="1" applyNumberFormat="1">
      <alignment horizontal="right" vertical="bottom"/>
    </xf>
    <xf borderId="1" fillId="2" fontId="7" numFmtId="0" xfId="0" applyAlignment="1" applyBorder="1" applyFill="1" applyFont="1">
      <alignment horizontal="center" readingOrder="0" vertical="top"/>
    </xf>
    <xf borderId="6" fillId="4" fontId="5" numFmtId="0" xfId="0" applyAlignment="1" applyBorder="1" applyFill="1" applyFont="1">
      <alignment horizontal="center" vertical="bottom"/>
    </xf>
    <xf borderId="7" fillId="4" fontId="6" numFmtId="0" xfId="0" applyBorder="1" applyFill="1" applyFont="1"/>
    <xf borderId="0" fillId="0" fontId="2" numFmtId="0" xfId="0" applyAlignment="1" applyFont="1">
      <alignment horizontal="center"/>
    </xf>
    <xf borderId="1" fillId="4" fontId="8" numFmtId="0" xfId="0" applyAlignment="1" applyBorder="1" applyFill="1" applyFont="1">
      <alignment horizontal="center" readingOrder="0" vertical="top"/>
    </xf>
    <xf borderId="6" fillId="4" fontId="5" numFmtId="164" xfId="0" applyAlignment="1" applyBorder="1" applyFill="1" applyFont="1" applyNumberFormat="1">
      <alignment horizontal="right" vertical="bottom"/>
    </xf>
    <xf borderId="1" fillId="4" fontId="8" numFmtId="0" xfId="0" applyAlignment="1" applyBorder="1" applyFill="1" applyFont="1">
      <alignment horizontal="left" readingOrder="0" vertical="top"/>
    </xf>
    <xf borderId="8" fillId="4" fontId="6" numFmtId="0" xfId="0" applyBorder="1" applyFill="1" applyFont="1"/>
    <xf borderId="7" fillId="0" fontId="6" numFmtId="0" xfId="0" applyBorder="1" applyFont="1"/>
    <xf borderId="1" fillId="4" fontId="8" numFmtId="164" xfId="0" applyAlignment="1" applyBorder="1" applyFill="1" applyFont="1" applyNumberFormat="1">
      <alignment horizontal="center" readingOrder="0" vertical="top"/>
    </xf>
    <xf borderId="0" fillId="0" fontId="2" numFmtId="0" xfId="0" applyAlignment="1" applyFont="1">
      <alignment horizontal="center" readingOrder="0"/>
    </xf>
    <xf borderId="1" fillId="5" fontId="8" numFmtId="0" xfId="0" applyAlignment="1" applyBorder="1" applyFill="1" applyFont="1">
      <alignment horizontal="center" readingOrder="0" vertical="top"/>
    </xf>
    <xf borderId="9" fillId="2" fontId="9" numFmtId="0" xfId="0" applyAlignment="1" applyBorder="1" applyFill="1" applyFont="1">
      <alignment horizontal="center"/>
    </xf>
    <xf borderId="1" fillId="5" fontId="8" numFmtId="0" xfId="0" applyAlignment="1" applyBorder="1" applyFill="1" applyFont="1">
      <alignment horizontal="left" readingOrder="0" vertical="top"/>
    </xf>
    <xf borderId="9" fillId="2" fontId="9" numFmtId="0" xfId="0" applyAlignment="1" applyBorder="1" applyFill="1" applyFont="1">
      <alignment horizontal="center"/>
    </xf>
    <xf borderId="1" fillId="5" fontId="8" numFmtId="164" xfId="0" applyAlignment="1" applyBorder="1" applyFill="1" applyFont="1" applyNumberFormat="1">
      <alignment horizontal="center" readingOrder="0" vertical="top"/>
    </xf>
    <xf borderId="9" fillId="2" fontId="9" numFmtId="0" xfId="0" applyAlignment="1" applyBorder="1" applyFill="1" applyFont="1">
      <alignment horizontal="center" readingOrder="0"/>
    </xf>
    <xf borderId="9" fillId="0" fontId="9" numFmtId="0" xfId="0" applyAlignment="1" applyBorder="1" applyFont="1">
      <alignment horizontal="center" readingOrder="0"/>
    </xf>
    <xf borderId="0" fillId="0" fontId="1" numFmtId="0" xfId="0" applyAlignment="1" applyFont="1">
      <alignment horizontal="right" readingOrder="0"/>
    </xf>
    <xf borderId="9" fillId="4" fontId="1" numFmtId="0" xfId="0" applyAlignment="1" applyBorder="1" applyFill="1" applyFont="1">
      <alignment horizontal="center"/>
    </xf>
    <xf borderId="9" fillId="4" fontId="1" numFmtId="0" xfId="0" applyAlignment="1" applyBorder="1" applyFill="1" applyFont="1">
      <alignment horizontal="left" readingOrder="0"/>
    </xf>
    <xf borderId="9" fillId="4" fontId="1" numFmtId="0" xfId="0" applyAlignment="1" applyBorder="1" applyFill="1" applyFont="1">
      <alignment readingOrder="0"/>
    </xf>
    <xf borderId="9" fillId="4" fontId="1" numFmtId="164" xfId="0" applyAlignment="1" applyBorder="1" applyFill="1" applyFont="1" applyNumberFormat="1">
      <alignment readingOrder="0"/>
    </xf>
    <xf borderId="1" fillId="5" fontId="1" numFmtId="0" xfId="0" applyAlignment="1" applyBorder="1" applyFill="1" applyFont="1">
      <alignment horizontal="left" readingOrder="0" vertical="top"/>
    </xf>
    <xf borderId="9" fillId="0" fontId="1" numFmtId="164" xfId="0" applyBorder="1" applyFont="1" applyNumberFormat="1"/>
    <xf borderId="9" fillId="5" fontId="1" numFmtId="0" xfId="0" applyAlignment="1" applyBorder="1" applyFill="1" applyFont="1">
      <alignment horizontal="center"/>
    </xf>
    <xf borderId="9" fillId="5" fontId="1" numFmtId="0" xfId="0" applyAlignment="1" applyBorder="1" applyFill="1" applyFont="1">
      <alignment horizontal="left" readingOrder="0"/>
    </xf>
    <xf borderId="9" fillId="5" fontId="1" numFmtId="0" xfId="0" applyAlignment="1" applyBorder="1" applyFill="1" applyFont="1">
      <alignment readingOrder="0"/>
    </xf>
    <xf borderId="9" fillId="5" fontId="1" numFmtId="164" xfId="0" applyAlignment="1" applyBorder="1" applyFill="1" applyFont="1" applyNumberFormat="1">
      <alignment readingOrder="0"/>
    </xf>
    <xf borderId="3" fillId="5" fontId="7" numFmtId="0" xfId="0" applyAlignment="1" applyBorder="1" applyFill="1" applyFont="1">
      <alignment horizontal="center" readingOrder="0" vertical="top"/>
    </xf>
    <xf borderId="4" fillId="5" fontId="6" numFmtId="0" xfId="0" applyBorder="1" applyFill="1" applyFont="1"/>
    <xf borderId="5" fillId="5" fontId="6" numFmtId="0" xfId="0" applyBorder="1" applyFill="1" applyFont="1"/>
    <xf borderId="9" fillId="4" fontId="1" numFmtId="0" xfId="0" applyAlignment="1" applyBorder="1" applyFill="1" applyFont="1">
      <alignment horizontal="center" readingOrder="0"/>
    </xf>
    <xf borderId="9" fillId="5" fontId="1" numFmtId="0" xfId="0" applyAlignment="1" applyBorder="1" applyFill="1" applyFont="1">
      <alignment horizontal="center" readingOrder="0"/>
    </xf>
    <xf borderId="9" fillId="5" fontId="1" numFmtId="0" xfId="0" applyBorder="1" applyFill="1" applyFont="1"/>
    <xf borderId="9" fillId="5" fontId="1" numFmtId="164" xfId="0" applyBorder="1" applyFill="1" applyFont="1" applyNumberFormat="1"/>
    <xf borderId="1" fillId="5" fontId="7" numFmtId="164" xfId="0" applyAlignment="1" applyBorder="1" applyFill="1" applyFont="1" applyNumberFormat="1">
      <alignment horizontal="center" readingOrder="0" vertical="top"/>
    </xf>
    <xf borderId="9" fillId="0" fontId="1" numFmtId="0" xfId="0" applyBorder="1" applyFont="1"/>
    <xf borderId="0" fillId="0" fontId="7" numFmtId="0" xfId="0" applyAlignment="1" applyFont="1">
      <alignment horizontal="right" readingOrder="0" vertical="top"/>
    </xf>
    <xf borderId="9" fillId="4" fontId="1" numFmtId="0" xfId="0" applyBorder="1" applyFill="1" applyFont="1"/>
    <xf borderId="0" fillId="0" fontId="2" numFmtId="0" xfId="0" applyFont="1"/>
    <xf borderId="9" fillId="4" fontId="1" numFmtId="164" xfId="0" applyBorder="1" applyFill="1" applyFont="1" applyNumberFormat="1"/>
    <xf borderId="10" fillId="5" fontId="1" numFmtId="0" xfId="0" applyAlignment="1" applyBorder="1" applyFill="1" applyFont="1">
      <alignment horizontal="center" readingOrder="0"/>
    </xf>
    <xf borderId="11" fillId="5" fontId="6" numFmtId="0" xfId="0" applyBorder="1" applyFill="1" applyFont="1"/>
    <xf borderId="0" fillId="0" fontId="8" numFmtId="0" xfId="0" applyAlignment="1" applyFont="1">
      <alignment horizontal="right" readingOrder="0" vertical="top"/>
    </xf>
    <xf borderId="10" fillId="5" fontId="1" numFmtId="164" xfId="0" applyBorder="1" applyFill="1" applyFont="1" applyNumberFormat="1"/>
    <xf borderId="12" fillId="5" fontId="6" numFmtId="0" xfId="0" applyBorder="1" applyFill="1" applyFont="1"/>
    <xf borderId="11" fillId="0" fontId="6" numFmtId="0" xfId="0" applyBorder="1" applyFont="1"/>
    <xf borderId="1" fillId="0" fontId="1" numFmtId="0" xfId="0" applyAlignment="1" applyBorder="1" applyFont="1">
      <alignment horizontal="center" readingOrder="0"/>
    </xf>
    <xf borderId="0" fillId="4" fontId="10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/>
    </xf>
    <xf borderId="2" fillId="7" fontId="9" numFmtId="0" xfId="0" applyAlignment="1" applyBorder="1" applyFill="1" applyFont="1">
      <alignment horizontal="center"/>
    </xf>
    <xf borderId="2" fillId="7" fontId="9" numFmtId="0" xfId="0" applyAlignment="1" applyBorder="1" applyFill="1" applyFont="1">
      <alignment horizontal="center"/>
    </xf>
    <xf borderId="1" fillId="0" fontId="1" numFmtId="0" xfId="0" applyAlignment="1" applyBorder="1" applyFont="1">
      <alignment readingOrder="0"/>
    </xf>
    <xf borderId="1" fillId="4" fontId="10" numFmtId="164" xfId="0" applyAlignment="1" applyBorder="1" applyFill="1" applyFont="1" applyNumberFormat="1">
      <alignment horizontal="center" readingOrder="0" vertical="bottom"/>
    </xf>
    <xf borderId="0" fillId="4" fontId="10" numFmtId="164" xfId="0" applyAlignment="1" applyFill="1" applyFont="1" applyNumberFormat="1">
      <alignment horizontal="center" readingOrder="0" vertical="bottom"/>
    </xf>
    <xf borderId="2" fillId="7" fontId="9" numFmtId="0" xfId="0" applyAlignment="1" applyBorder="1" applyFill="1" applyFont="1">
      <alignment horizontal="center" readingOrder="0"/>
    </xf>
    <xf borderId="2" fillId="0" fontId="9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readingOrder="0"/>
    </xf>
    <xf borderId="1" fillId="4" fontId="10" numFmtId="164" xfId="0" applyAlignment="1" applyBorder="1" applyFill="1" applyFont="1" applyNumberFormat="1">
      <alignment horizontal="center" readingOrder="0"/>
    </xf>
    <xf borderId="2" fillId="4" fontId="1" numFmtId="0" xfId="0" applyAlignment="1" applyBorder="1" applyFill="1" applyFont="1">
      <alignment horizontal="center"/>
    </xf>
    <xf borderId="0" fillId="4" fontId="10" numFmtId="164" xfId="0" applyAlignment="1" applyFill="1" applyFont="1" applyNumberFormat="1">
      <alignment horizontal="center" readingOrder="0"/>
    </xf>
    <xf borderId="2" fillId="4" fontId="1" numFmtId="0" xfId="0" applyAlignment="1" applyBorder="1" applyFill="1" applyFont="1">
      <alignment horizontal="left" readingOrder="0"/>
    </xf>
    <xf borderId="1" fillId="0" fontId="1" numFmtId="164" xfId="0" applyAlignment="1" applyBorder="1" applyFont="1" applyNumberFormat="1">
      <alignment horizontal="center" readingOrder="0"/>
    </xf>
    <xf borderId="2" fillId="4" fontId="1" numFmtId="0" xfId="0" applyAlignment="1" applyBorder="1" applyFill="1" applyFont="1">
      <alignment readingOrder="0"/>
    </xf>
    <xf borderId="2" fillId="4" fontId="1" numFmtId="164" xfId="0" applyAlignment="1" applyBorder="1" applyFill="1" applyFont="1" applyNumberFormat="1">
      <alignment readingOrder="0"/>
    </xf>
    <xf borderId="2" fillId="0" fontId="1" numFmtId="164" xfId="0" applyBorder="1" applyFont="1" applyNumberFormat="1"/>
    <xf borderId="2" fillId="8" fontId="1" numFmtId="0" xfId="0" applyAlignment="1" applyBorder="1" applyFill="1" applyFont="1">
      <alignment horizontal="center"/>
    </xf>
    <xf borderId="2" fillId="8" fontId="1" numFmtId="0" xfId="0" applyAlignment="1" applyBorder="1" applyFill="1" applyFont="1">
      <alignment horizontal="left" readingOrder="0"/>
    </xf>
    <xf borderId="2" fillId="8" fontId="1" numFmtId="0" xfId="0" applyAlignment="1" applyBorder="1" applyFill="1" applyFont="1">
      <alignment readingOrder="0"/>
    </xf>
    <xf borderId="2" fillId="8" fontId="1" numFmtId="164" xfId="0" applyAlignment="1" applyBorder="1" applyFill="1" applyFont="1" applyNumberFormat="1">
      <alignment readingOrder="0"/>
    </xf>
    <xf borderId="1" fillId="0" fontId="1" numFmtId="164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2" fillId="4" fontId="1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0" fontId="1" numFmtId="164" xfId="0" applyAlignment="1" applyFont="1" applyNumberFormat="1">
      <alignment readingOrder="0"/>
    </xf>
    <xf borderId="2" fillId="8" fontId="1" numFmtId="0" xfId="0" applyAlignment="1" applyBorder="1" applyFill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4" fontId="1" numFmtId="0" xfId="0" applyAlignment="1" applyFill="1" applyFont="1">
      <alignment readingOrder="0"/>
    </xf>
    <xf borderId="2" fillId="8" fontId="1" numFmtId="0" xfId="0" applyBorder="1" applyFill="1" applyFont="1"/>
    <xf borderId="2" fillId="8" fontId="1" numFmtId="164" xfId="0" applyBorder="1" applyFill="1" applyFont="1" applyNumberFormat="1"/>
    <xf borderId="0" fillId="0" fontId="1" numFmtId="0" xfId="0" applyAlignment="1" applyFont="1">
      <alignment horizontal="left" readingOrder="0"/>
    </xf>
    <xf borderId="2" fillId="0" fontId="1" numFmtId="0" xfId="0" applyBorder="1" applyFont="1"/>
    <xf borderId="0" fillId="0" fontId="1" numFmtId="0" xfId="0" applyAlignment="1" applyFont="1">
      <alignment horizontal="center" readingOrder="0"/>
    </xf>
    <xf borderId="6" fillId="4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6" fillId="4" fontId="1" numFmtId="164" xfId="0" applyBorder="1" applyFill="1" applyFont="1" applyNumberFormat="1"/>
    <xf borderId="0" fillId="0" fontId="1" numFmtId="164" xfId="0" applyAlignment="1" applyFont="1" applyNumberFormat="1">
      <alignment horizontal="center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5">
    <tableStyle count="3" pivot="0" name="Financial Projection-style">
      <tableStyleElement dxfId="1" type="headerRow"/>
      <tableStyleElement dxfId="2" type="firstRowStripe"/>
      <tableStyleElement dxfId="3" type="secondRowStripe"/>
    </tableStyle>
    <tableStyle count="3" pivot="0" name="Sheet1-style">
      <tableStyleElement dxfId="4" type="headerRow"/>
      <tableStyleElement dxfId="2" type="firstRowStripe"/>
      <tableStyleElement dxfId="5" type="secondRowStripe"/>
    </tableStyle>
    <tableStyle count="3" pivot="0" name="Financial Projection-style 2">
      <tableStyleElement dxfId="6" type="headerRow"/>
      <tableStyleElement dxfId="2" type="firstRowStripe"/>
      <tableStyleElement dxfId="7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3" pivot="0" name="Sheet1-style 3">
      <tableStyleElement dxfId="8" type="headerRow"/>
      <tableStyleElement dxfId="2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E4:E6" displayName="Table_2" name="Table_2" id="2">
  <tableColumns count="1">
    <tableColumn name="Jumlah (Rp)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E10:E17" displayName="Table_4" name="Table_4" id="4">
  <tableColumns count="1">
    <tableColumn name="Jumlah (Rp)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E21:E29" displayName="Table_5" name="Table_5" id="5">
  <tableColumns count="1">
    <tableColumn name="Jumlah (Rp)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24:C29" displayName="Table_1" name="Table_1" id="1">
  <tableColumns count="3">
    <tableColumn name="Komponen Biaya Variabel" id="1"/>
    <tableColumn name="Biaya per Unit-Diamond (Rp)" id="2"/>
    <tableColumn name="Biaya per Unit-Basic (Rp)" id="3"/>
  </tableColumns>
  <tableStyleInfo name="Financial Projection-style" showColumnStripes="0" showFirstColumn="1" showLastColumn="1" showRowStripes="1"/>
</table>
</file>

<file path=xl/tables/table5.xml><?xml version="1.0" encoding="utf-8"?>
<table xmlns="http://schemas.openxmlformats.org/spreadsheetml/2006/main" headerRowCount="0" ref="A40:D43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Financial Projectio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13"/>
    <col customWidth="1" min="3" max="3" width="13.75"/>
    <col customWidth="1" min="4" max="4" width="19.0"/>
  </cols>
  <sheetData>
    <row r="1">
      <c r="A1" s="5" t="s">
        <v>9</v>
      </c>
    </row>
    <row r="2">
      <c r="A2" s="5"/>
    </row>
    <row r="3">
      <c r="A3" s="6" t="s">
        <v>10</v>
      </c>
    </row>
    <row r="4">
      <c r="A4" s="9" t="s">
        <v>11</v>
      </c>
      <c r="B4" s="10" t="s">
        <v>12</v>
      </c>
      <c r="C4" s="10" t="s">
        <v>14</v>
      </c>
      <c r="D4" s="10" t="s">
        <v>13</v>
      </c>
      <c r="E4" s="12" t="s">
        <v>15</v>
      </c>
    </row>
    <row r="5">
      <c r="A5" s="14">
        <v>1.0</v>
      </c>
      <c r="B5" s="16" t="s">
        <v>16</v>
      </c>
      <c r="C5" s="16">
        <v>1.0</v>
      </c>
      <c r="D5" s="18">
        <v>3000000.0</v>
      </c>
      <c r="E5" s="25">
        <f t="shared" ref="E5:E6" si="1">C5*D5</f>
        <v>3000000</v>
      </c>
    </row>
    <row r="6">
      <c r="A6" s="26">
        <v>2.0</v>
      </c>
      <c r="B6" s="27" t="s">
        <v>17</v>
      </c>
      <c r="C6" s="29">
        <v>1.0</v>
      </c>
      <c r="D6" s="30">
        <v>1500000.0</v>
      </c>
      <c r="E6" s="31">
        <f t="shared" si="1"/>
        <v>1500000</v>
      </c>
    </row>
    <row r="7">
      <c r="A7" s="33" t="s">
        <v>20</v>
      </c>
      <c r="B7" s="34"/>
      <c r="C7" s="37">
        <f>sum(E5:E6)</f>
        <v>4500000</v>
      </c>
      <c r="D7" s="39"/>
      <c r="E7" s="40"/>
    </row>
    <row r="8">
      <c r="A8" s="5"/>
    </row>
    <row r="9">
      <c r="A9" s="5" t="s">
        <v>23</v>
      </c>
      <c r="B9" s="42"/>
      <c r="C9" s="42"/>
      <c r="D9" s="42"/>
    </row>
    <row r="10">
      <c r="A10" s="44" t="s">
        <v>11</v>
      </c>
      <c r="B10" s="46" t="s">
        <v>12</v>
      </c>
      <c r="C10" s="48" t="s">
        <v>14</v>
      </c>
      <c r="D10" s="48" t="s">
        <v>13</v>
      </c>
      <c r="E10" s="49" t="s">
        <v>15</v>
      </c>
      <c r="F10" s="50"/>
    </row>
    <row r="11">
      <c r="A11" s="51">
        <v>1.0</v>
      </c>
      <c r="B11" s="52" t="s">
        <v>32</v>
      </c>
      <c r="C11" s="53">
        <v>1.0</v>
      </c>
      <c r="D11" s="54">
        <v>350000.0</v>
      </c>
      <c r="E11" s="56">
        <f t="shared" ref="E11:E15" si="2">C11*D11</f>
        <v>350000</v>
      </c>
      <c r="F11" s="50"/>
    </row>
    <row r="12">
      <c r="A12" s="57">
        <v>2.0</v>
      </c>
      <c r="B12" s="58" t="s">
        <v>39</v>
      </c>
      <c r="C12" s="59">
        <v>1.0</v>
      </c>
      <c r="D12" s="60">
        <v>500000.0</v>
      </c>
      <c r="E12" s="56">
        <f t="shared" si="2"/>
        <v>500000</v>
      </c>
      <c r="F12" s="50"/>
    </row>
    <row r="13">
      <c r="A13" s="51">
        <v>3.0</v>
      </c>
      <c r="B13" s="52" t="s">
        <v>42</v>
      </c>
      <c r="C13" s="53">
        <v>2.0</v>
      </c>
      <c r="D13" s="54">
        <v>2200000.0</v>
      </c>
      <c r="E13" s="56">
        <f t="shared" si="2"/>
        <v>4400000</v>
      </c>
      <c r="F13" s="50"/>
    </row>
    <row r="14">
      <c r="A14" s="57">
        <v>4.0</v>
      </c>
      <c r="B14" s="58" t="s">
        <v>43</v>
      </c>
      <c r="C14" s="59">
        <v>2.0</v>
      </c>
      <c r="D14" s="60">
        <v>1000000.0</v>
      </c>
      <c r="E14" s="56">
        <f t="shared" si="2"/>
        <v>2000000</v>
      </c>
      <c r="F14" s="50"/>
    </row>
    <row r="15">
      <c r="A15" s="64">
        <v>5.0</v>
      </c>
      <c r="B15" s="52" t="s">
        <v>44</v>
      </c>
      <c r="C15" s="53">
        <v>2.0</v>
      </c>
      <c r="D15" s="54">
        <v>850000.0</v>
      </c>
      <c r="E15" s="56">
        <f t="shared" si="2"/>
        <v>1700000</v>
      </c>
    </row>
    <row r="16">
      <c r="A16" s="65">
        <v>6.0</v>
      </c>
      <c r="B16" s="58"/>
      <c r="C16" s="66"/>
      <c r="D16" s="67"/>
      <c r="E16" s="69"/>
    </row>
    <row r="17">
      <c r="A17" s="64">
        <v>7.0</v>
      </c>
      <c r="B17" s="52"/>
      <c r="C17" s="71"/>
      <c r="D17" s="73"/>
      <c r="E17" s="69"/>
    </row>
    <row r="18">
      <c r="A18" s="74" t="s">
        <v>20</v>
      </c>
      <c r="B18" s="75"/>
      <c r="C18" s="77">
        <f>sum(E11:E15)</f>
        <v>8950000</v>
      </c>
      <c r="D18" s="78"/>
      <c r="E18" s="79"/>
    </row>
    <row r="20">
      <c r="A20" s="5" t="s">
        <v>49</v>
      </c>
    </row>
    <row r="21">
      <c r="A21" s="83" t="s">
        <v>11</v>
      </c>
      <c r="B21" s="84" t="s">
        <v>12</v>
      </c>
      <c r="C21" s="88" t="s">
        <v>14</v>
      </c>
      <c r="D21" s="88" t="s">
        <v>13</v>
      </c>
      <c r="E21" s="89" t="s">
        <v>15</v>
      </c>
    </row>
    <row r="22">
      <c r="A22" s="92">
        <v>1.0</v>
      </c>
      <c r="B22" s="94" t="s">
        <v>54</v>
      </c>
      <c r="C22" s="96">
        <v>1.0</v>
      </c>
      <c r="D22" s="97">
        <v>50000.0</v>
      </c>
      <c r="E22" s="98">
        <f t="shared" ref="E22:E28" si="3">C22*D22</f>
        <v>50000</v>
      </c>
    </row>
    <row r="23">
      <c r="A23" s="99">
        <v>2.0</v>
      </c>
      <c r="B23" s="100" t="s">
        <v>57</v>
      </c>
      <c r="C23" s="101">
        <v>1.0</v>
      </c>
      <c r="D23" s="102">
        <v>15000.0</v>
      </c>
      <c r="E23" s="98">
        <f t="shared" si="3"/>
        <v>15000</v>
      </c>
    </row>
    <row r="24">
      <c r="A24" s="92">
        <v>3.0</v>
      </c>
      <c r="B24" s="94" t="s">
        <v>58</v>
      </c>
      <c r="C24" s="96">
        <v>1.0</v>
      </c>
      <c r="D24" s="97">
        <v>10000.0</v>
      </c>
      <c r="E24" s="98">
        <f t="shared" si="3"/>
        <v>10000</v>
      </c>
    </row>
    <row r="25">
      <c r="A25" s="99">
        <v>4.0</v>
      </c>
      <c r="B25" s="100" t="s">
        <v>60</v>
      </c>
      <c r="C25" s="101">
        <v>1.0</v>
      </c>
      <c r="D25" s="102">
        <v>3500.0</v>
      </c>
      <c r="E25" s="98">
        <f t="shared" si="3"/>
        <v>3500</v>
      </c>
    </row>
    <row r="26">
      <c r="A26" s="106">
        <v>5.0</v>
      </c>
      <c r="B26" s="107" t="s">
        <v>63</v>
      </c>
      <c r="C26" s="96">
        <v>1.0</v>
      </c>
      <c r="D26" s="97">
        <v>15000.0</v>
      </c>
      <c r="E26" s="98">
        <f t="shared" si="3"/>
        <v>15000</v>
      </c>
    </row>
    <row r="27">
      <c r="A27" s="109">
        <v>6.0</v>
      </c>
      <c r="B27" s="100" t="s">
        <v>66</v>
      </c>
      <c r="C27" s="101">
        <v>1.0</v>
      </c>
      <c r="D27" s="102">
        <v>2000.0</v>
      </c>
      <c r="E27" s="98">
        <f t="shared" si="3"/>
        <v>2000</v>
      </c>
    </row>
    <row r="28">
      <c r="A28" s="106">
        <v>7.0</v>
      </c>
      <c r="B28" s="112" t="s">
        <v>68</v>
      </c>
      <c r="C28" s="96">
        <v>1.0</v>
      </c>
      <c r="D28" s="97">
        <v>3750.0</v>
      </c>
      <c r="E28" s="98">
        <f t="shared" si="3"/>
        <v>3750</v>
      </c>
    </row>
    <row r="29">
      <c r="A29" s="109"/>
      <c r="B29" s="100"/>
      <c r="C29" s="113"/>
      <c r="D29" s="114"/>
      <c r="E29" s="116"/>
    </row>
    <row r="30">
      <c r="A30" s="118" t="s">
        <v>70</v>
      </c>
      <c r="B30" s="34"/>
      <c r="C30" s="122">
        <f>sum(E22:E28)</f>
        <v>99250</v>
      </c>
      <c r="D30" s="39"/>
      <c r="E30" s="40"/>
    </row>
    <row r="32">
      <c r="A32" s="105" t="s">
        <v>75</v>
      </c>
      <c r="B32" s="108">
        <f>SUM(C18,C30)</f>
        <v>9049250</v>
      </c>
    </row>
    <row r="33">
      <c r="B33" s="105"/>
    </row>
    <row r="34">
      <c r="A34" s="105" t="s">
        <v>76</v>
      </c>
      <c r="B34" s="124"/>
    </row>
    <row r="35">
      <c r="A35" s="105" t="s">
        <v>78</v>
      </c>
      <c r="B35" s="105"/>
    </row>
    <row r="36">
      <c r="A36" s="105" t="s">
        <v>79</v>
      </c>
    </row>
    <row r="37">
      <c r="A37" s="105" t="s">
        <v>80</v>
      </c>
      <c r="B37" s="105"/>
    </row>
    <row r="38">
      <c r="A38" s="105" t="s">
        <v>81</v>
      </c>
    </row>
    <row r="39">
      <c r="B39" s="105"/>
    </row>
    <row r="40">
      <c r="A40" s="5" t="s">
        <v>82</v>
      </c>
    </row>
    <row r="41">
      <c r="A41" s="105" t="s">
        <v>83</v>
      </c>
    </row>
    <row r="42">
      <c r="A42" s="125">
        <f>C30</f>
        <v>99250</v>
      </c>
    </row>
  </sheetData>
  <mergeCells count="6">
    <mergeCell ref="A7:B7"/>
    <mergeCell ref="C7:E7"/>
    <mergeCell ref="A18:B18"/>
    <mergeCell ref="C18:E18"/>
    <mergeCell ref="A30:B30"/>
    <mergeCell ref="C30:E30"/>
  </mergeCell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</v>
      </c>
      <c r="B3" s="1" t="s">
        <v>2</v>
      </c>
      <c r="C3" s="1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4</v>
      </c>
      <c r="B4" s="3">
        <v>50000.0</v>
      </c>
      <c r="C4" s="1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6</v>
      </c>
      <c r="B5" s="3">
        <v>150000.0</v>
      </c>
      <c r="C5" s="1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3" width="30.0"/>
    <col customWidth="1" min="4" max="4" width="48.5"/>
    <col customWidth="1" min="5" max="5" width="17.25"/>
  </cols>
  <sheetData>
    <row r="1">
      <c r="D1" s="4"/>
    </row>
    <row r="2">
      <c r="A2" s="6" t="s">
        <v>10</v>
      </c>
    </row>
    <row r="3">
      <c r="A3" s="7" t="s">
        <v>11</v>
      </c>
      <c r="B3" s="8"/>
      <c r="C3" s="8" t="s">
        <v>12</v>
      </c>
      <c r="D3" s="8" t="s">
        <v>13</v>
      </c>
    </row>
    <row r="4">
      <c r="A4" s="11">
        <v>1.0</v>
      </c>
      <c r="B4" s="13"/>
      <c r="C4" s="13" t="s">
        <v>16</v>
      </c>
      <c r="D4" s="15">
        <v>3000000.0</v>
      </c>
    </row>
    <row r="5">
      <c r="A5" s="17">
        <v>2.0</v>
      </c>
      <c r="B5" s="19"/>
      <c r="C5" s="19" t="s">
        <v>17</v>
      </c>
      <c r="D5" s="20">
        <v>1500000.0</v>
      </c>
    </row>
    <row r="6">
      <c r="A6" s="21" t="s">
        <v>18</v>
      </c>
      <c r="B6" s="22"/>
      <c r="C6" s="23"/>
      <c r="D6" s="24">
        <f>sum(D4:D5)</f>
        <v>4500000</v>
      </c>
      <c r="E6" s="28"/>
      <c r="F6" s="28"/>
    </row>
    <row r="7">
      <c r="D7" s="4"/>
    </row>
    <row r="8">
      <c r="A8" s="6" t="s">
        <v>19</v>
      </c>
      <c r="D8" s="4"/>
    </row>
    <row r="9">
      <c r="A9" s="32" t="s">
        <v>11</v>
      </c>
      <c r="B9" s="32"/>
      <c r="C9" s="32" t="s">
        <v>1</v>
      </c>
      <c r="D9" s="32" t="s">
        <v>3</v>
      </c>
      <c r="E9" s="32" t="s">
        <v>13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6">
        <v>1.0</v>
      </c>
      <c r="B10" s="36"/>
      <c r="C10" s="36" t="s">
        <v>21</v>
      </c>
      <c r="D10" s="38" t="s">
        <v>22</v>
      </c>
      <c r="E10" s="41">
        <v>350000.0</v>
      </c>
      <c r="F10" s="4"/>
    </row>
    <row r="11">
      <c r="A11" s="43">
        <v>2.0</v>
      </c>
      <c r="B11" s="43"/>
      <c r="C11" s="43" t="s">
        <v>24</v>
      </c>
      <c r="D11" s="45" t="s">
        <v>25</v>
      </c>
      <c r="E11" s="47">
        <v>0.0</v>
      </c>
      <c r="F11" s="4"/>
    </row>
    <row r="12">
      <c r="A12" s="36">
        <v>3.0</v>
      </c>
      <c r="B12" s="36"/>
      <c r="C12" s="36" t="s">
        <v>26</v>
      </c>
      <c r="D12" s="38" t="s">
        <v>27</v>
      </c>
      <c r="E12" s="41">
        <v>300000.0</v>
      </c>
      <c r="F12" s="4"/>
    </row>
    <row r="13">
      <c r="A13" s="43">
        <v>4.0</v>
      </c>
      <c r="B13" s="43"/>
      <c r="C13" s="43" t="s">
        <v>28</v>
      </c>
      <c r="D13" s="45" t="s">
        <v>29</v>
      </c>
      <c r="E13" s="47">
        <v>65000.0</v>
      </c>
      <c r="F13" s="4"/>
    </row>
    <row r="14">
      <c r="A14" s="36">
        <v>5.0</v>
      </c>
      <c r="B14" s="36"/>
      <c r="C14" s="36" t="s">
        <v>30</v>
      </c>
      <c r="D14" s="38" t="s">
        <v>31</v>
      </c>
      <c r="E14" s="41">
        <v>200000.0</v>
      </c>
      <c r="F14" s="4"/>
    </row>
    <row r="15">
      <c r="A15" s="43">
        <v>6.0</v>
      </c>
      <c r="B15" s="43"/>
      <c r="C15" s="43" t="s">
        <v>33</v>
      </c>
      <c r="D15" s="45" t="s">
        <v>34</v>
      </c>
      <c r="E15" s="47">
        <v>2000000.0</v>
      </c>
      <c r="F15" s="4"/>
    </row>
    <row r="16">
      <c r="A16" s="36">
        <v>7.0</v>
      </c>
      <c r="B16" s="36"/>
      <c r="C16" s="36" t="s">
        <v>35</v>
      </c>
      <c r="D16" s="38" t="s">
        <v>36</v>
      </c>
      <c r="E16" s="41">
        <v>1000000.0</v>
      </c>
      <c r="F16" s="4"/>
    </row>
    <row r="17">
      <c r="A17" s="43">
        <v>8.0</v>
      </c>
      <c r="B17" s="43"/>
      <c r="C17" s="43" t="s">
        <v>37</v>
      </c>
      <c r="D17" s="55" t="s">
        <v>38</v>
      </c>
      <c r="E17" s="47">
        <v>2000000.0</v>
      </c>
      <c r="F17" s="4"/>
    </row>
    <row r="18">
      <c r="A18" s="36">
        <v>9.0</v>
      </c>
      <c r="B18" s="36"/>
      <c r="C18" s="36" t="s">
        <v>40</v>
      </c>
      <c r="D18" s="38" t="s">
        <v>41</v>
      </c>
      <c r="E18" s="41">
        <v>2800000.0</v>
      </c>
      <c r="F18" s="4"/>
    </row>
    <row r="19">
      <c r="A19" s="61" t="s">
        <v>20</v>
      </c>
      <c r="B19" s="62"/>
      <c r="C19" s="62"/>
      <c r="D19" s="63"/>
      <c r="E19" s="68">
        <f>sum(E10:E18)</f>
        <v>8715000</v>
      </c>
      <c r="F19" s="70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>
      <c r="A20" s="76"/>
      <c r="F20" s="76"/>
    </row>
    <row r="21">
      <c r="D21" s="4"/>
    </row>
    <row r="22">
      <c r="A22" s="6" t="s">
        <v>45</v>
      </c>
      <c r="D22" s="4"/>
    </row>
    <row r="23">
      <c r="A23" s="6" t="s">
        <v>46</v>
      </c>
      <c r="D23" s="4"/>
    </row>
    <row r="24">
      <c r="A24" s="80" t="s">
        <v>47</v>
      </c>
      <c r="B24" s="80" t="s">
        <v>48</v>
      </c>
      <c r="C24" s="80" t="s">
        <v>50</v>
      </c>
      <c r="D24" s="81"/>
      <c r="E24" s="81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>
      <c r="A25" s="85" t="s">
        <v>51</v>
      </c>
      <c r="B25" s="86">
        <v>35000.0</v>
      </c>
      <c r="C25" s="86">
        <v>35000.0</v>
      </c>
      <c r="D25" s="87"/>
      <c r="E25" s="81"/>
    </row>
    <row r="26">
      <c r="A26" s="85" t="s">
        <v>52</v>
      </c>
      <c r="B26" s="86">
        <v>40000.0</v>
      </c>
      <c r="C26" s="86">
        <v>15000.0</v>
      </c>
      <c r="D26" s="87"/>
      <c r="E26" s="81"/>
    </row>
    <row r="27">
      <c r="A27" s="90" t="s">
        <v>53</v>
      </c>
      <c r="B27" s="91">
        <v>24000.0</v>
      </c>
      <c r="C27" s="91">
        <v>2000.0</v>
      </c>
      <c r="D27" s="93"/>
      <c r="E27" s="81"/>
    </row>
    <row r="28">
      <c r="A28" s="85" t="s">
        <v>55</v>
      </c>
      <c r="B28" s="95">
        <v>6500.0</v>
      </c>
      <c r="C28" s="95">
        <v>4500.0</v>
      </c>
      <c r="D28" s="4"/>
    </row>
    <row r="29">
      <c r="A29" s="85" t="s">
        <v>56</v>
      </c>
      <c r="B29" s="103">
        <f t="shared" ref="B29:C29" si="1">sum(B25:B28)</f>
        <v>105500</v>
      </c>
      <c r="C29" s="103">
        <f t="shared" si="1"/>
        <v>56500</v>
      </c>
      <c r="D29" s="4"/>
    </row>
    <row r="30">
      <c r="D30" s="4"/>
    </row>
    <row r="31">
      <c r="A31" s="6" t="s">
        <v>59</v>
      </c>
      <c r="D31" s="4"/>
    </row>
    <row r="32">
      <c r="A32" s="104" t="s">
        <v>47</v>
      </c>
      <c r="B32" s="104"/>
      <c r="C32" s="104" t="s">
        <v>61</v>
      </c>
      <c r="D32" s="4"/>
    </row>
    <row r="33">
      <c r="A33" s="105" t="s">
        <v>62</v>
      </c>
      <c r="B33" s="87"/>
      <c r="C33" s="87">
        <v>35000.0</v>
      </c>
      <c r="D33" s="4"/>
    </row>
    <row r="34">
      <c r="A34" s="105" t="s">
        <v>64</v>
      </c>
      <c r="B34" s="87"/>
      <c r="C34" s="87">
        <v>40000.0</v>
      </c>
      <c r="D34" s="4"/>
    </row>
    <row r="35">
      <c r="A35" s="108" t="s">
        <v>65</v>
      </c>
      <c r="B35" s="93"/>
      <c r="C35" s="93">
        <v>24000.0</v>
      </c>
      <c r="D35" s="4"/>
    </row>
    <row r="36">
      <c r="A36" s="105" t="s">
        <v>55</v>
      </c>
      <c r="B36" s="110"/>
      <c r="C36" s="110">
        <v>6500.0</v>
      </c>
      <c r="D36" s="4"/>
    </row>
    <row r="37">
      <c r="A37" s="105" t="s">
        <v>67</v>
      </c>
      <c r="B37" s="111"/>
      <c r="C37" s="111">
        <f>sum(C33:C36)</f>
        <v>105500</v>
      </c>
      <c r="D37" s="4"/>
    </row>
    <row r="38">
      <c r="D38" s="4"/>
    </row>
    <row r="39">
      <c r="A39" s="5" t="s">
        <v>69</v>
      </c>
      <c r="D39" s="115"/>
    </row>
    <row r="40">
      <c r="A40" s="117" t="s">
        <v>3</v>
      </c>
      <c r="B40" s="117"/>
      <c r="C40" s="117" t="s">
        <v>71</v>
      </c>
      <c r="D40" s="117" t="s">
        <v>72</v>
      </c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>
      <c r="A41" s="119" t="s">
        <v>73</v>
      </c>
      <c r="B41" s="120"/>
      <c r="C41" s="120">
        <v>75000.0</v>
      </c>
      <c r="D41" s="120">
        <v>150000.0</v>
      </c>
    </row>
    <row r="42">
      <c r="A42" s="119" t="s">
        <v>74</v>
      </c>
      <c r="B42" s="121"/>
      <c r="C42" s="123">
        <f>C29</f>
        <v>56500</v>
      </c>
      <c r="D42" s="123">
        <f>C37</f>
        <v>105500</v>
      </c>
    </row>
    <row r="43">
      <c r="A43" s="119" t="s">
        <v>77</v>
      </c>
      <c r="B43" s="121"/>
      <c r="C43" s="123">
        <f t="shared" ref="C43:D43" si="2">C41-C42</f>
        <v>18500</v>
      </c>
      <c r="D43" s="123">
        <f t="shared" si="2"/>
        <v>44500</v>
      </c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  <row r="1001">
      <c r="D1001" s="4"/>
    </row>
    <row r="1002">
      <c r="D1002" s="4"/>
    </row>
    <row r="1003">
      <c r="D1003" s="4"/>
    </row>
    <row r="1004">
      <c r="D1004" s="4"/>
    </row>
    <row r="1005">
      <c r="D1005" s="4"/>
    </row>
    <row r="1006">
      <c r="D1006" s="4"/>
    </row>
    <row r="1007">
      <c r="D1007" s="4"/>
    </row>
  </sheetData>
  <mergeCells count="3">
    <mergeCell ref="A6:C6"/>
    <mergeCell ref="A19:D19"/>
    <mergeCell ref="A20:E20"/>
  </mergeCells>
  <drawing r:id="rId1"/>
  <tableParts count="2">
    <tablePart r:id="rId4"/>
    <tablePart r:id="rId5"/>
  </tableParts>
</worksheet>
</file>